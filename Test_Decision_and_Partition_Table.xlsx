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"/>
    </mc:Choice>
  </mc:AlternateContent>
  <xr:revisionPtr revIDLastSave="0" documentId="13_ncr:1_{E6AE7D36-C61D-4764-88A5-CE9BFE42FEC3}" xr6:coauthVersionLast="47" xr6:coauthVersionMax="47" xr10:uidLastSave="{00000000-0000-0000-0000-000000000000}"/>
  <bookViews>
    <workbookView xWindow="0" yWindow="12" windowWidth="23256" windowHeight="13176" xr2:uid="{604EFDF5-69E1-422D-9D07-8A203C401FB7}"/>
  </bookViews>
  <sheets>
    <sheet name="Weight Validation - (EP&amp;BVA)" sheetId="1" r:id="rId1"/>
    <sheet name="Destination Zone Multiplier" sheetId="2" r:id="rId2"/>
    <sheet name=" Loyalty Discount" sheetId="3" r:id="rId3"/>
    <sheet name="Decision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1" i="4" l="1"/>
  <c r="CK11" i="4"/>
  <c r="CJ11" i="4"/>
  <c r="CI11" i="4"/>
  <c r="CH11" i="4"/>
  <c r="CG11" i="4"/>
  <c r="CF11" i="4"/>
  <c r="CE11" i="4"/>
  <c r="CB11" i="4"/>
  <c r="CA11" i="4"/>
  <c r="BZ11" i="4"/>
  <c r="BY11" i="4"/>
  <c r="BX11" i="4"/>
  <c r="BW11" i="4"/>
  <c r="BV11" i="4"/>
  <c r="BU11" i="4"/>
  <c r="BR11" i="4"/>
  <c r="BQ11" i="4"/>
  <c r="BP11" i="4"/>
  <c r="BO11" i="4"/>
  <c r="BN11" i="4"/>
  <c r="BM11" i="4"/>
  <c r="BL11" i="4"/>
  <c r="BK11" i="4"/>
  <c r="BH11" i="4"/>
  <c r="BG11" i="4"/>
  <c r="BF11" i="4"/>
  <c r="BE11" i="4"/>
  <c r="BD11" i="4"/>
  <c r="BC11" i="4"/>
  <c r="BB11" i="4"/>
  <c r="BA11" i="4"/>
  <c r="AX11" i="4"/>
  <c r="AW11" i="4"/>
  <c r="AV11" i="4"/>
  <c r="AU11" i="4"/>
  <c r="AT11" i="4"/>
  <c r="AS11" i="4"/>
  <c r="AR11" i="4"/>
  <c r="AQ11" i="4"/>
  <c r="AN11" i="4"/>
  <c r="AM11" i="4"/>
  <c r="AL11" i="4"/>
  <c r="AK11" i="4"/>
  <c r="AJ11" i="4"/>
  <c r="AI11" i="4"/>
  <c r="AH11" i="4"/>
  <c r="AG11" i="4"/>
  <c r="AD11" i="4"/>
  <c r="AC11" i="4"/>
  <c r="AB11" i="4"/>
  <c r="AA11" i="4"/>
  <c r="Z11" i="4"/>
  <c r="Y11" i="4"/>
  <c r="X11" i="4"/>
  <c r="W11" i="4"/>
  <c r="T11" i="4"/>
  <c r="S11" i="4"/>
  <c r="R11" i="4"/>
  <c r="Q11" i="4"/>
  <c r="P11" i="4"/>
  <c r="O11" i="4"/>
  <c r="N11" i="4"/>
  <c r="M11" i="4"/>
  <c r="D11" i="4"/>
  <c r="E11" i="4"/>
  <c r="F11" i="4"/>
  <c r="G11" i="4"/>
  <c r="H11" i="4"/>
  <c r="I11" i="4"/>
  <c r="J11" i="4"/>
  <c r="C11" i="4"/>
</calcChain>
</file>

<file path=xl/sharedStrings.xml><?xml version="1.0" encoding="utf-8"?>
<sst xmlns="http://schemas.openxmlformats.org/spreadsheetml/2006/main" count="167" uniqueCount="56">
  <si>
    <t>Conditions:</t>
  </si>
  <si>
    <t>Actions:</t>
  </si>
  <si>
    <t>Invalid</t>
  </si>
  <si>
    <t>Valid</t>
  </si>
  <si>
    <t>EP (Test Data)</t>
  </si>
  <si>
    <t>ER (Base Cost RM)</t>
  </si>
  <si>
    <t>Weight Range (kg)</t>
  </si>
  <si>
    <t>BVA (Test Data)</t>
  </si>
  <si>
    <t>0.1 - 1.0</t>
  </si>
  <si>
    <t>(0.1, 1.0)</t>
  </si>
  <si>
    <t>(1.1, 5.0)</t>
  </si>
  <si>
    <t>(5.1, 10.0)</t>
  </si>
  <si>
    <t>(10.1, 50.0)</t>
  </si>
  <si>
    <t>50.1 --&gt;</t>
  </si>
  <si>
    <t>&lt;-- 0</t>
  </si>
  <si>
    <t>excp.</t>
  </si>
  <si>
    <t>Condition:</t>
  </si>
  <si>
    <t>Zone</t>
  </si>
  <si>
    <t>Action:</t>
  </si>
  <si>
    <t>Multiplier</t>
  </si>
  <si>
    <t>LOCAL</t>
  </si>
  <si>
    <t>NATIONAL</t>
  </si>
  <si>
    <t>INTERNATIONAL</t>
  </si>
  <si>
    <t>x 1.0</t>
  </si>
  <si>
    <t>x1.5</t>
  </si>
  <si>
    <t>x2.5</t>
  </si>
  <si>
    <t>Loyalty Status</t>
  </si>
  <si>
    <t xml:space="preserve">Discount </t>
  </si>
  <si>
    <t>NONE</t>
  </si>
  <si>
    <t>SILVER</t>
  </si>
  <si>
    <t>GOLD</t>
  </si>
  <si>
    <t xml:space="preserve"> </t>
  </si>
  <si>
    <t>Destination Zone</t>
  </si>
  <si>
    <t>Loyalty</t>
  </si>
  <si>
    <t>R1</t>
  </si>
  <si>
    <t>Base Cost (RM)</t>
  </si>
  <si>
    <t>Discount (%)</t>
  </si>
  <si>
    <t>Final Result (RM)</t>
  </si>
  <si>
    <t>R2</t>
  </si>
  <si>
    <t>R3</t>
  </si>
  <si>
    <t>R4</t>
  </si>
  <si>
    <t>R5</t>
  </si>
  <si>
    <t>R6</t>
  </si>
  <si>
    <t>R7</t>
  </si>
  <si>
    <t>R8</t>
  </si>
  <si>
    <t>R9</t>
  </si>
  <si>
    <t>&gt;1.0- 5.0</t>
  </si>
  <si>
    <t>&gt;5.0 - 10.0</t>
  </si>
  <si>
    <t xml:space="preserve">&gt;10.0 - 50.0 </t>
  </si>
  <si>
    <t>Assumption:</t>
  </si>
  <si>
    <t>1. Zone and LoyaltyStatus are always provided as valid enum values (null is not considered).</t>
  </si>
  <si>
    <t>1.LoyaltyStatus are always provided as valid enum values (null is not considered).</t>
  </si>
  <si>
    <t>1. Zone and  are always provided as valid enum values (null is not considered).</t>
  </si>
  <si>
    <t>2. If weight is invalid, an exception is thrown immediately and no further calculation is performed.</t>
  </si>
  <si>
    <t>Assumptions:</t>
  </si>
  <si>
    <t>1. Zone = Local and Loyalty =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</si>
</sst>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/>
    <xf numFmtId="9" fontId="2" fillId="0" borderId="5" xfId="0" applyNumberFormat="1" applyFont="1" applyBorder="1" applyAlignment="1">
      <alignment horizontal="center"/>
    </xf>
    <xf numFmtId="169" fontId="1" fillId="0" borderId="1" xfId="0" applyNumberFormat="1" applyFont="1" applyFill="1" applyBorder="1" applyAlignment="1" applyProtection="1">
      <alignment horizontal="left" vertical="top"/>
    </xf>
    <xf numFmtId="169" fontId="1" fillId="0" borderId="1" xfId="0" applyNumberFormat="1" applyFont="1" applyFill="1" applyBorder="1" applyAlignment="1" applyProtection="1">
      <alignment horizontal="center" vertical="center"/>
    </xf>
    <xf numFmtId="169" fontId="1" fillId="0" borderId="2" xfId="0" applyNumberFormat="1" applyFont="1" applyFill="1" applyBorder="1" applyAlignment="1" applyProtection="1">
      <alignment horizontal="center" vertical="center"/>
    </xf>
    <xf numFmtId="169" fontId="1" fillId="0" borderId="3" xfId="0" applyNumberFormat="1" applyFont="1" applyFill="1" applyBorder="1" applyAlignment="1" applyProtection="1">
      <alignment horizontal="center" vertical="center"/>
    </xf>
    <xf numFmtId="169" fontId="1" fillId="0" borderId="4" xfId="0" applyNumberFormat="1" applyFont="1" applyFill="1" applyBorder="1" applyAlignment="1" applyProtection="1">
      <alignment horizontal="center" vertical="center"/>
    </xf>
    <xf numFmtId="169" fontId="1" fillId="4" borderId="1" xfId="0" applyNumberFormat="1" applyFont="1" applyFill="1" applyBorder="1" applyAlignment="1" applyProtection="1">
      <alignment horizontal="left" vertical="top"/>
    </xf>
    <xf numFmtId="169" fontId="1" fillId="4" borderId="1" xfId="0" applyNumberFormat="1" applyFont="1" applyFill="1" applyBorder="1" applyAlignment="1" applyProtection="1">
      <alignment horizontal="center" vertical="center"/>
    </xf>
    <xf numFmtId="169" fontId="1" fillId="4" borderId="6" xfId="0" applyNumberFormat="1" applyFont="1" applyFill="1" applyBorder="1" applyAlignment="1" applyProtection="1">
      <alignment horizontal="left" vertical="top"/>
    </xf>
    <xf numFmtId="169" fontId="1" fillId="4" borderId="6" xfId="0" applyNumberFormat="1" applyFont="1" applyFill="1" applyBorder="1" applyAlignment="1" applyProtection="1">
      <alignment horizontal="center" vertical="center"/>
    </xf>
    <xf numFmtId="169" fontId="1" fillId="0" borderId="5" xfId="0" applyNumberFormat="1" applyFont="1" applyFill="1" applyBorder="1" applyAlignment="1" applyProtection="1">
      <alignment horizontal="left" vertical="top"/>
    </xf>
    <xf numFmtId="169" fontId="2" fillId="0" borderId="5" xfId="0" applyNumberFormat="1" applyFont="1" applyFill="1" applyBorder="1"/>
    <xf numFmtId="169" fontId="1" fillId="5" borderId="5" xfId="0" applyNumberFormat="1" applyFont="1" applyFill="1" applyBorder="1" applyAlignment="1" applyProtection="1">
      <alignment horizontal="left" vertical="top"/>
    </xf>
    <xf numFmtId="169" fontId="2" fillId="5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left"/>
    </xf>
    <xf numFmtId="169" fontId="0" fillId="0" borderId="5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6" borderId="5" xfId="0" applyNumberFormat="1" applyFill="1" applyBorder="1" applyAlignment="1">
      <alignment horizontal="center"/>
    </xf>
    <xf numFmtId="169" fontId="0" fillId="0" borderId="5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169" fontId="0" fillId="2" borderId="5" xfId="0" applyNumberFormat="1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5AC7-B853-4AE0-A6AF-7B395FDAC936}">
  <dimension ref="A1:G10"/>
  <sheetViews>
    <sheetView tabSelected="1" zoomScaleNormal="100" workbookViewId="0">
      <selection activeCell="E15" sqref="E15"/>
    </sheetView>
  </sheetViews>
  <sheetFormatPr defaultRowHeight="14.4" x14ac:dyDescent="0.3"/>
  <cols>
    <col min="1" max="1" width="28.33203125" bestFit="1" customWidth="1"/>
    <col min="2" max="2" width="10.77734375" customWidth="1"/>
    <col min="3" max="3" width="12.21875" customWidth="1"/>
    <col min="4" max="4" width="12.5546875" bestFit="1" customWidth="1"/>
    <col min="5" max="5" width="14.33203125" bestFit="1" customWidth="1"/>
    <col min="6" max="6" width="16.88671875" bestFit="1" customWidth="1"/>
    <col min="7" max="7" width="14.33203125" customWidth="1"/>
  </cols>
  <sheetData>
    <row r="1" spans="1:7" ht="21" x14ac:dyDescent="0.3">
      <c r="A1" s="6"/>
      <c r="B1" s="7" t="s">
        <v>2</v>
      </c>
      <c r="C1" s="8" t="s">
        <v>3</v>
      </c>
      <c r="D1" s="9"/>
      <c r="E1" s="9"/>
      <c r="F1" s="10"/>
      <c r="G1" s="7" t="s">
        <v>2</v>
      </c>
    </row>
    <row r="2" spans="1:7" ht="21" x14ac:dyDescent="0.3">
      <c r="A2" s="6" t="s">
        <v>6</v>
      </c>
      <c r="B2" s="7" t="s">
        <v>14</v>
      </c>
      <c r="C2" s="7" t="s">
        <v>8</v>
      </c>
      <c r="D2" s="7" t="s">
        <v>46</v>
      </c>
      <c r="E2" s="7" t="s">
        <v>47</v>
      </c>
      <c r="F2" s="7" t="s">
        <v>48</v>
      </c>
      <c r="G2" s="7" t="s">
        <v>13</v>
      </c>
    </row>
    <row r="3" spans="1:7" ht="21" x14ac:dyDescent="0.3">
      <c r="A3" s="11" t="s">
        <v>4</v>
      </c>
      <c r="B3" s="12">
        <v>0</v>
      </c>
      <c r="C3" s="12">
        <v>0.5</v>
      </c>
      <c r="D3" s="12">
        <v>3</v>
      </c>
      <c r="E3" s="12">
        <v>7</v>
      </c>
      <c r="F3" s="12">
        <v>30</v>
      </c>
      <c r="G3" s="12">
        <v>100</v>
      </c>
    </row>
    <row r="4" spans="1:7" ht="21" x14ac:dyDescent="0.3">
      <c r="A4" s="13" t="s">
        <v>5</v>
      </c>
      <c r="B4" s="14" t="s">
        <v>15</v>
      </c>
      <c r="C4" s="14">
        <v>10</v>
      </c>
      <c r="D4" s="14">
        <v>20</v>
      </c>
      <c r="E4" s="14">
        <v>35</v>
      </c>
      <c r="F4" s="14">
        <v>50</v>
      </c>
      <c r="G4" s="14" t="s">
        <v>15</v>
      </c>
    </row>
    <row r="5" spans="1:7" ht="14.4" customHeight="1" x14ac:dyDescent="0.4">
      <c r="A5" s="15"/>
      <c r="B5" s="16"/>
      <c r="C5" s="16"/>
      <c r="D5" s="16"/>
      <c r="E5" s="16"/>
      <c r="F5" s="16"/>
      <c r="G5" s="16"/>
    </row>
    <row r="6" spans="1:7" ht="21" x14ac:dyDescent="0.4">
      <c r="A6" s="17" t="s">
        <v>7</v>
      </c>
      <c r="B6" s="18">
        <v>0</v>
      </c>
      <c r="C6" s="18" t="s">
        <v>9</v>
      </c>
      <c r="D6" s="18" t="s">
        <v>10</v>
      </c>
      <c r="E6" s="18" t="s">
        <v>11</v>
      </c>
      <c r="F6" s="18" t="s">
        <v>12</v>
      </c>
      <c r="G6" s="18">
        <v>50.1</v>
      </c>
    </row>
    <row r="7" spans="1:7" ht="21" x14ac:dyDescent="0.4">
      <c r="A7" s="17" t="s">
        <v>5</v>
      </c>
      <c r="B7" s="18" t="s">
        <v>15</v>
      </c>
      <c r="C7" s="18">
        <v>10</v>
      </c>
      <c r="D7" s="18">
        <v>20</v>
      </c>
      <c r="E7" s="18">
        <v>35</v>
      </c>
      <c r="F7" s="18">
        <v>50</v>
      </c>
      <c r="G7" s="18" t="s">
        <v>15</v>
      </c>
    </row>
    <row r="9" spans="1:7" x14ac:dyDescent="0.3">
      <c r="A9" t="s">
        <v>54</v>
      </c>
    </row>
    <row r="10" spans="1:7" x14ac:dyDescent="0.3">
      <c r="A10" t="s">
        <v>55</v>
      </c>
    </row>
  </sheetData>
  <mergeCells count="1">
    <mergeCell ref="C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2AFC-FC6B-4E3D-B42E-088C625BB712}">
  <dimension ref="A1:D9"/>
  <sheetViews>
    <sheetView workbookViewId="0">
      <selection activeCell="C16" sqref="C16"/>
    </sheetView>
  </sheetViews>
  <sheetFormatPr defaultRowHeight="14.4" x14ac:dyDescent="0.3"/>
  <cols>
    <col min="1" max="1" width="14.21875" bestFit="1" customWidth="1"/>
    <col min="2" max="2" width="11" bestFit="1" customWidth="1"/>
    <col min="3" max="3" width="16.33203125" bestFit="1" customWidth="1"/>
    <col min="4" max="4" width="25.21875" bestFit="1" customWidth="1"/>
  </cols>
  <sheetData>
    <row r="1" spans="1:4" ht="21" x14ac:dyDescent="0.4">
      <c r="A1" s="1"/>
      <c r="B1" s="3" t="s">
        <v>3</v>
      </c>
      <c r="C1" s="3"/>
      <c r="D1" s="3"/>
    </row>
    <row r="2" spans="1:4" ht="21" x14ac:dyDescent="0.4">
      <c r="A2" s="4" t="s">
        <v>16</v>
      </c>
      <c r="B2" s="2"/>
      <c r="C2" s="2"/>
      <c r="D2" s="2"/>
    </row>
    <row r="3" spans="1:4" ht="21" x14ac:dyDescent="0.4">
      <c r="A3" s="1" t="s">
        <v>17</v>
      </c>
      <c r="B3" s="2" t="s">
        <v>20</v>
      </c>
      <c r="C3" s="2" t="s">
        <v>21</v>
      </c>
      <c r="D3" s="2" t="s">
        <v>22</v>
      </c>
    </row>
    <row r="4" spans="1:4" ht="10.199999999999999" customHeight="1" x14ac:dyDescent="0.4">
      <c r="A4" s="1"/>
      <c r="B4" s="2"/>
      <c r="C4" s="2"/>
      <c r="D4" s="2"/>
    </row>
    <row r="5" spans="1:4" ht="21" x14ac:dyDescent="0.4">
      <c r="A5" s="4" t="s">
        <v>18</v>
      </c>
      <c r="B5" s="2"/>
      <c r="C5" s="2"/>
      <c r="D5" s="2"/>
    </row>
    <row r="6" spans="1:4" ht="21" x14ac:dyDescent="0.4">
      <c r="A6" s="1" t="s">
        <v>19</v>
      </c>
      <c r="B6" s="2" t="s">
        <v>23</v>
      </c>
      <c r="C6" s="2" t="s">
        <v>24</v>
      </c>
      <c r="D6" s="2" t="s">
        <v>25</v>
      </c>
    </row>
    <row r="8" spans="1:4" ht="21" x14ac:dyDescent="0.4">
      <c r="A8" s="30" t="s">
        <v>49</v>
      </c>
    </row>
    <row r="9" spans="1:4" ht="21" x14ac:dyDescent="0.4">
      <c r="A9" s="30" t="s">
        <v>52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B0EA-CD9F-4563-883C-6E1D80CD4DBA}">
  <dimension ref="A1:D9"/>
  <sheetViews>
    <sheetView workbookViewId="0">
      <selection activeCell="C18" sqref="C18"/>
    </sheetView>
  </sheetViews>
  <sheetFormatPr defaultRowHeight="14.4" x14ac:dyDescent="0.3"/>
  <cols>
    <col min="1" max="1" width="19" bestFit="1" customWidth="1"/>
    <col min="3" max="3" width="11.5546875" bestFit="1" customWidth="1"/>
    <col min="4" max="4" width="9.33203125" bestFit="1" customWidth="1"/>
  </cols>
  <sheetData>
    <row r="1" spans="1:4" ht="21" x14ac:dyDescent="0.4">
      <c r="A1" s="1"/>
      <c r="B1" s="31" t="s">
        <v>3</v>
      </c>
      <c r="C1" s="32"/>
      <c r="D1" s="33"/>
    </row>
    <row r="2" spans="1:4" ht="21" x14ac:dyDescent="0.4">
      <c r="A2" s="4" t="s">
        <v>16</v>
      </c>
      <c r="B2" s="2"/>
      <c r="C2" s="2"/>
      <c r="D2" s="2"/>
    </row>
    <row r="3" spans="1:4" ht="21" x14ac:dyDescent="0.4">
      <c r="A3" s="1" t="s">
        <v>26</v>
      </c>
      <c r="B3" s="2" t="s">
        <v>28</v>
      </c>
      <c r="C3" s="2" t="s">
        <v>29</v>
      </c>
      <c r="D3" s="2" t="s">
        <v>30</v>
      </c>
    </row>
    <row r="4" spans="1:4" ht="12.6" customHeight="1" x14ac:dyDescent="0.4">
      <c r="A4" s="1"/>
      <c r="B4" s="2"/>
      <c r="C4" s="2"/>
      <c r="D4" s="2"/>
    </row>
    <row r="5" spans="1:4" ht="21" x14ac:dyDescent="0.4">
      <c r="A5" s="4" t="s">
        <v>18</v>
      </c>
      <c r="B5" s="2"/>
      <c r="C5" s="2"/>
      <c r="D5" s="2"/>
    </row>
    <row r="6" spans="1:4" ht="21" x14ac:dyDescent="0.4">
      <c r="A6" s="1" t="s">
        <v>27</v>
      </c>
      <c r="B6" s="5">
        <v>0</v>
      </c>
      <c r="C6" s="5">
        <v>0.05</v>
      </c>
      <c r="D6" s="5">
        <v>0.1</v>
      </c>
    </row>
    <row r="8" spans="1:4" ht="21" x14ac:dyDescent="0.4">
      <c r="A8" s="30" t="s">
        <v>49</v>
      </c>
    </row>
    <row r="9" spans="1:4" ht="21" x14ac:dyDescent="0.4">
      <c r="A9" s="30" t="s">
        <v>51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BA1F-968C-4C58-A83D-E7ED695D7977}">
  <dimension ref="A1:CM15"/>
  <sheetViews>
    <sheetView workbookViewId="0">
      <selection activeCell="B17" sqref="B17"/>
    </sheetView>
  </sheetViews>
  <sheetFormatPr defaultRowHeight="14.4" x14ac:dyDescent="0.3"/>
  <cols>
    <col min="1" max="1" width="15.21875" bestFit="1" customWidth="1"/>
  </cols>
  <sheetData>
    <row r="1" spans="1:91" x14ac:dyDescent="0.3">
      <c r="A1" s="19"/>
      <c r="B1" s="26" t="s">
        <v>34</v>
      </c>
      <c r="C1" s="26"/>
      <c r="D1" s="26"/>
      <c r="E1" s="26"/>
      <c r="F1" s="26"/>
      <c r="G1" s="26"/>
      <c r="H1" s="26"/>
      <c r="I1" s="26"/>
      <c r="J1" s="26"/>
      <c r="K1" s="26"/>
      <c r="L1" s="26" t="s">
        <v>38</v>
      </c>
      <c r="M1" s="26"/>
      <c r="N1" s="26"/>
      <c r="O1" s="26"/>
      <c r="P1" s="26"/>
      <c r="Q1" s="26"/>
      <c r="R1" s="26"/>
      <c r="S1" s="26"/>
      <c r="T1" s="26"/>
      <c r="U1" s="26"/>
      <c r="V1" s="26" t="s">
        <v>39</v>
      </c>
      <c r="W1" s="26"/>
      <c r="X1" s="26"/>
      <c r="Y1" s="26"/>
      <c r="Z1" s="26"/>
      <c r="AA1" s="26"/>
      <c r="AB1" s="26"/>
      <c r="AC1" s="26"/>
      <c r="AD1" s="26"/>
      <c r="AE1" s="26"/>
      <c r="AF1" s="26" t="s">
        <v>40</v>
      </c>
      <c r="AG1" s="26"/>
      <c r="AH1" s="26"/>
      <c r="AI1" s="26"/>
      <c r="AJ1" s="26"/>
      <c r="AK1" s="26"/>
      <c r="AL1" s="26"/>
      <c r="AM1" s="26"/>
      <c r="AN1" s="26"/>
      <c r="AO1" s="26"/>
      <c r="AP1" s="26" t="s">
        <v>41</v>
      </c>
      <c r="AQ1" s="26"/>
      <c r="AR1" s="26"/>
      <c r="AS1" s="26"/>
      <c r="AT1" s="26"/>
      <c r="AU1" s="26"/>
      <c r="AV1" s="26"/>
      <c r="AW1" s="26"/>
      <c r="AX1" s="26"/>
      <c r="AY1" s="26"/>
      <c r="AZ1" s="26" t="s">
        <v>42</v>
      </c>
      <c r="BA1" s="26"/>
      <c r="BB1" s="26"/>
      <c r="BC1" s="26"/>
      <c r="BD1" s="26"/>
      <c r="BE1" s="26"/>
      <c r="BF1" s="26"/>
      <c r="BG1" s="26"/>
      <c r="BH1" s="26"/>
      <c r="BI1" s="26"/>
      <c r="BJ1" s="26" t="s">
        <v>43</v>
      </c>
      <c r="BK1" s="26"/>
      <c r="BL1" s="26"/>
      <c r="BM1" s="26"/>
      <c r="BN1" s="26"/>
      <c r="BO1" s="26"/>
      <c r="BP1" s="26"/>
      <c r="BQ1" s="26"/>
      <c r="BR1" s="26"/>
      <c r="BS1" s="26"/>
      <c r="BT1" s="26" t="s">
        <v>44</v>
      </c>
      <c r="BU1" s="26"/>
      <c r="BV1" s="26"/>
      <c r="BW1" s="26"/>
      <c r="BX1" s="26"/>
      <c r="BY1" s="26"/>
      <c r="BZ1" s="26"/>
      <c r="CA1" s="26"/>
      <c r="CB1" s="26"/>
      <c r="CC1" s="26"/>
      <c r="CD1" s="26" t="s">
        <v>45</v>
      </c>
      <c r="CE1" s="26"/>
      <c r="CF1" s="26"/>
      <c r="CG1" s="26"/>
      <c r="CH1" s="26"/>
      <c r="CI1" s="26"/>
      <c r="CJ1" s="26"/>
      <c r="CK1" s="26"/>
      <c r="CL1" s="26"/>
      <c r="CM1" s="26"/>
    </row>
    <row r="2" spans="1:91" x14ac:dyDescent="0.3">
      <c r="A2" s="20" t="s">
        <v>0</v>
      </c>
      <c r="B2" s="22" t="s">
        <v>31</v>
      </c>
      <c r="C2" s="22"/>
      <c r="D2" s="22"/>
      <c r="E2" s="22"/>
      <c r="F2" s="22"/>
      <c r="G2" s="22"/>
      <c r="H2" s="22"/>
      <c r="I2" s="22"/>
      <c r="J2" s="22"/>
      <c r="K2" s="22"/>
      <c r="L2" s="22" t="s">
        <v>31</v>
      </c>
      <c r="M2" s="22"/>
      <c r="N2" s="22"/>
      <c r="O2" s="22"/>
      <c r="P2" s="22"/>
      <c r="Q2" s="22"/>
      <c r="R2" s="22"/>
      <c r="S2" s="22"/>
      <c r="T2" s="22"/>
      <c r="U2" s="22"/>
      <c r="V2" s="22" t="s">
        <v>31</v>
      </c>
      <c r="W2" s="22"/>
      <c r="X2" s="22"/>
      <c r="Y2" s="22"/>
      <c r="Z2" s="22"/>
      <c r="AA2" s="22"/>
      <c r="AB2" s="22"/>
      <c r="AC2" s="22"/>
      <c r="AD2" s="22"/>
      <c r="AE2" s="22"/>
      <c r="AF2" s="22" t="s">
        <v>31</v>
      </c>
      <c r="AG2" s="22"/>
      <c r="AH2" s="22"/>
      <c r="AI2" s="22"/>
      <c r="AJ2" s="22"/>
      <c r="AK2" s="22"/>
      <c r="AL2" s="22"/>
      <c r="AM2" s="22"/>
      <c r="AN2" s="22"/>
      <c r="AO2" s="22"/>
      <c r="AP2" s="22" t="s">
        <v>31</v>
      </c>
      <c r="AQ2" s="22"/>
      <c r="AR2" s="22"/>
      <c r="AS2" s="22"/>
      <c r="AT2" s="22"/>
      <c r="AU2" s="22"/>
      <c r="AV2" s="22"/>
      <c r="AW2" s="22"/>
      <c r="AX2" s="22"/>
      <c r="AY2" s="22"/>
      <c r="AZ2" s="22" t="s">
        <v>31</v>
      </c>
      <c r="BA2" s="22"/>
      <c r="BB2" s="22"/>
      <c r="BC2" s="22"/>
      <c r="BD2" s="22"/>
      <c r="BE2" s="22"/>
      <c r="BF2" s="22"/>
      <c r="BG2" s="22"/>
      <c r="BH2" s="22"/>
      <c r="BI2" s="22"/>
      <c r="BJ2" s="22" t="s">
        <v>31</v>
      </c>
      <c r="BK2" s="22"/>
      <c r="BL2" s="22"/>
      <c r="BM2" s="22"/>
      <c r="BN2" s="22"/>
      <c r="BO2" s="22"/>
      <c r="BP2" s="22"/>
      <c r="BQ2" s="22"/>
      <c r="BR2" s="22"/>
      <c r="BS2" s="22"/>
      <c r="BT2" s="22" t="s">
        <v>31</v>
      </c>
      <c r="BU2" s="22"/>
      <c r="BV2" s="22"/>
      <c r="BW2" s="22"/>
      <c r="BX2" s="22"/>
      <c r="BY2" s="22"/>
      <c r="BZ2" s="22"/>
      <c r="CA2" s="22"/>
      <c r="CB2" s="22"/>
      <c r="CC2" s="22"/>
      <c r="CD2" s="22" t="s">
        <v>31</v>
      </c>
      <c r="CE2" s="22"/>
      <c r="CF2" s="22"/>
      <c r="CG2" s="22"/>
      <c r="CH2" s="22"/>
      <c r="CI2" s="22"/>
      <c r="CJ2" s="22"/>
      <c r="CK2" s="22"/>
      <c r="CL2" s="22"/>
      <c r="CM2" s="22"/>
    </row>
    <row r="3" spans="1:91" x14ac:dyDescent="0.3">
      <c r="A3" s="19" t="s">
        <v>6</v>
      </c>
      <c r="B3" s="23">
        <v>0</v>
      </c>
      <c r="C3" s="25">
        <v>0.1</v>
      </c>
      <c r="D3" s="25">
        <v>1</v>
      </c>
      <c r="E3" s="25">
        <v>1.1000000000000001</v>
      </c>
      <c r="F3" s="25">
        <v>5</v>
      </c>
      <c r="G3" s="25">
        <v>5.0999999999999996</v>
      </c>
      <c r="H3" s="25">
        <v>10</v>
      </c>
      <c r="I3" s="25">
        <v>10.1</v>
      </c>
      <c r="J3" s="25">
        <v>50</v>
      </c>
      <c r="K3" s="23">
        <v>50.1</v>
      </c>
      <c r="L3" s="23">
        <v>0</v>
      </c>
      <c r="M3" s="25">
        <v>0.1</v>
      </c>
      <c r="N3" s="25">
        <v>1</v>
      </c>
      <c r="O3" s="25">
        <v>1.1000000000000001</v>
      </c>
      <c r="P3" s="25">
        <v>5</v>
      </c>
      <c r="Q3" s="25">
        <v>5.0999999999999996</v>
      </c>
      <c r="R3" s="25">
        <v>10</v>
      </c>
      <c r="S3" s="25">
        <v>10.1</v>
      </c>
      <c r="T3" s="25">
        <v>50</v>
      </c>
      <c r="U3" s="23">
        <v>50.1</v>
      </c>
      <c r="V3" s="23">
        <v>0</v>
      </c>
      <c r="W3" s="25">
        <v>0.1</v>
      </c>
      <c r="X3" s="25">
        <v>1</v>
      </c>
      <c r="Y3" s="25">
        <v>1.1000000000000001</v>
      </c>
      <c r="Z3" s="25">
        <v>5</v>
      </c>
      <c r="AA3" s="25">
        <v>5.0999999999999996</v>
      </c>
      <c r="AB3" s="25">
        <v>10</v>
      </c>
      <c r="AC3" s="25">
        <v>10.1</v>
      </c>
      <c r="AD3" s="25">
        <v>50</v>
      </c>
      <c r="AE3" s="23">
        <v>50.1</v>
      </c>
      <c r="AF3" s="23">
        <v>0</v>
      </c>
      <c r="AG3" s="25">
        <v>0.1</v>
      </c>
      <c r="AH3" s="25">
        <v>1</v>
      </c>
      <c r="AI3" s="25">
        <v>1.1000000000000001</v>
      </c>
      <c r="AJ3" s="25">
        <v>5</v>
      </c>
      <c r="AK3" s="25">
        <v>5.0999999999999996</v>
      </c>
      <c r="AL3" s="25">
        <v>10</v>
      </c>
      <c r="AM3" s="25">
        <v>10.1</v>
      </c>
      <c r="AN3" s="25">
        <v>50</v>
      </c>
      <c r="AO3" s="23">
        <v>50.1</v>
      </c>
      <c r="AP3" s="23">
        <v>0</v>
      </c>
      <c r="AQ3" s="25">
        <v>0.1</v>
      </c>
      <c r="AR3" s="25">
        <v>1</v>
      </c>
      <c r="AS3" s="25">
        <v>1.1000000000000001</v>
      </c>
      <c r="AT3" s="25">
        <v>5</v>
      </c>
      <c r="AU3" s="25">
        <v>5.0999999999999996</v>
      </c>
      <c r="AV3" s="25">
        <v>10</v>
      </c>
      <c r="AW3" s="25">
        <v>10.1</v>
      </c>
      <c r="AX3" s="25">
        <v>50</v>
      </c>
      <c r="AY3" s="23">
        <v>50.1</v>
      </c>
      <c r="AZ3" s="23">
        <v>0</v>
      </c>
      <c r="BA3" s="25">
        <v>0.1</v>
      </c>
      <c r="BB3" s="25">
        <v>1</v>
      </c>
      <c r="BC3" s="25">
        <v>1.1000000000000001</v>
      </c>
      <c r="BD3" s="25">
        <v>5</v>
      </c>
      <c r="BE3" s="25">
        <v>5.0999999999999996</v>
      </c>
      <c r="BF3" s="25">
        <v>10</v>
      </c>
      <c r="BG3" s="25">
        <v>10.1</v>
      </c>
      <c r="BH3" s="25">
        <v>50</v>
      </c>
      <c r="BI3" s="23">
        <v>50.1</v>
      </c>
      <c r="BJ3" s="23">
        <v>0</v>
      </c>
      <c r="BK3" s="25">
        <v>0.1</v>
      </c>
      <c r="BL3" s="25">
        <v>1</v>
      </c>
      <c r="BM3" s="25">
        <v>1.1000000000000001</v>
      </c>
      <c r="BN3" s="25">
        <v>5</v>
      </c>
      <c r="BO3" s="25">
        <v>5.0999999999999996</v>
      </c>
      <c r="BP3" s="25">
        <v>10</v>
      </c>
      <c r="BQ3" s="25">
        <v>10.1</v>
      </c>
      <c r="BR3" s="25">
        <v>50</v>
      </c>
      <c r="BS3" s="23">
        <v>50.1</v>
      </c>
      <c r="BT3" s="23">
        <v>0</v>
      </c>
      <c r="BU3" s="25">
        <v>0.1</v>
      </c>
      <c r="BV3" s="25">
        <v>1</v>
      </c>
      <c r="BW3" s="25">
        <v>1.1000000000000001</v>
      </c>
      <c r="BX3" s="25">
        <v>5</v>
      </c>
      <c r="BY3" s="25">
        <v>5.0999999999999996</v>
      </c>
      <c r="BZ3" s="25">
        <v>10</v>
      </c>
      <c r="CA3" s="25">
        <v>10.1</v>
      </c>
      <c r="CB3" s="25">
        <v>50</v>
      </c>
      <c r="CC3" s="23">
        <v>50.1</v>
      </c>
      <c r="CD3" s="23">
        <v>0</v>
      </c>
      <c r="CE3" s="25">
        <v>0.1</v>
      </c>
      <c r="CF3" s="25">
        <v>1</v>
      </c>
      <c r="CG3" s="25">
        <v>1.1000000000000001</v>
      </c>
      <c r="CH3" s="25">
        <v>5</v>
      </c>
      <c r="CI3" s="25">
        <v>5.0999999999999996</v>
      </c>
      <c r="CJ3" s="25">
        <v>10</v>
      </c>
      <c r="CK3" s="25">
        <v>10.1</v>
      </c>
      <c r="CL3" s="25">
        <v>50</v>
      </c>
      <c r="CM3" s="23">
        <v>50.1</v>
      </c>
    </row>
    <row r="4" spans="1:91" x14ac:dyDescent="0.3">
      <c r="A4" s="19" t="s">
        <v>32</v>
      </c>
      <c r="B4" s="21" t="s">
        <v>20</v>
      </c>
      <c r="C4" s="21"/>
      <c r="D4" s="21"/>
      <c r="E4" s="21"/>
      <c r="F4" s="21"/>
      <c r="G4" s="21"/>
      <c r="H4" s="21"/>
      <c r="I4" s="21"/>
      <c r="J4" s="21"/>
      <c r="K4" s="21"/>
      <c r="L4" s="21" t="s">
        <v>20</v>
      </c>
      <c r="M4" s="21"/>
      <c r="N4" s="21"/>
      <c r="O4" s="21"/>
      <c r="P4" s="21"/>
      <c r="Q4" s="21"/>
      <c r="R4" s="21"/>
      <c r="S4" s="21"/>
      <c r="T4" s="21"/>
      <c r="U4" s="21"/>
      <c r="V4" s="21" t="s">
        <v>20</v>
      </c>
      <c r="W4" s="21"/>
      <c r="X4" s="21"/>
      <c r="Y4" s="21"/>
      <c r="Z4" s="21"/>
      <c r="AA4" s="21"/>
      <c r="AB4" s="21"/>
      <c r="AC4" s="21"/>
      <c r="AD4" s="21"/>
      <c r="AE4" s="21"/>
      <c r="AF4" s="21" t="s">
        <v>21</v>
      </c>
      <c r="AG4" s="21"/>
      <c r="AH4" s="21"/>
      <c r="AI4" s="21"/>
      <c r="AJ4" s="21"/>
      <c r="AK4" s="21"/>
      <c r="AL4" s="21"/>
      <c r="AM4" s="21"/>
      <c r="AN4" s="21"/>
      <c r="AO4" s="21"/>
      <c r="AP4" s="21" t="s">
        <v>21</v>
      </c>
      <c r="AQ4" s="21"/>
      <c r="AR4" s="21"/>
      <c r="AS4" s="21"/>
      <c r="AT4" s="21"/>
      <c r="AU4" s="21"/>
      <c r="AV4" s="21"/>
      <c r="AW4" s="21"/>
      <c r="AX4" s="21"/>
      <c r="AY4" s="21"/>
      <c r="AZ4" s="21" t="s">
        <v>21</v>
      </c>
      <c r="BA4" s="21"/>
      <c r="BB4" s="21"/>
      <c r="BC4" s="21"/>
      <c r="BD4" s="21"/>
      <c r="BE4" s="21"/>
      <c r="BF4" s="21"/>
      <c r="BG4" s="21"/>
      <c r="BH4" s="21"/>
      <c r="BI4" s="21"/>
      <c r="BJ4" s="21" t="s">
        <v>22</v>
      </c>
      <c r="BK4" s="21"/>
      <c r="BL4" s="21"/>
      <c r="BM4" s="21"/>
      <c r="BN4" s="21"/>
      <c r="BO4" s="21"/>
      <c r="BP4" s="21"/>
      <c r="BQ4" s="21"/>
      <c r="BR4" s="21"/>
      <c r="BS4" s="21"/>
      <c r="BT4" s="21" t="s">
        <v>22</v>
      </c>
      <c r="BU4" s="21"/>
      <c r="BV4" s="21"/>
      <c r="BW4" s="21"/>
      <c r="BX4" s="21"/>
      <c r="BY4" s="21"/>
      <c r="BZ4" s="21"/>
      <c r="CA4" s="21"/>
      <c r="CB4" s="21"/>
      <c r="CC4" s="21"/>
      <c r="CD4" s="21" t="s">
        <v>22</v>
      </c>
      <c r="CE4" s="21"/>
      <c r="CF4" s="21"/>
      <c r="CG4" s="21"/>
      <c r="CH4" s="21"/>
      <c r="CI4" s="21"/>
      <c r="CJ4" s="21"/>
      <c r="CK4" s="21"/>
      <c r="CL4" s="21"/>
      <c r="CM4" s="21"/>
    </row>
    <row r="5" spans="1:91" x14ac:dyDescent="0.3">
      <c r="A5" s="19" t="s">
        <v>33</v>
      </c>
      <c r="B5" s="21" t="s">
        <v>28</v>
      </c>
      <c r="C5" s="21"/>
      <c r="D5" s="21"/>
      <c r="E5" s="21"/>
      <c r="F5" s="21"/>
      <c r="G5" s="21"/>
      <c r="H5" s="21"/>
      <c r="I5" s="21"/>
      <c r="J5" s="21"/>
      <c r="K5" s="21"/>
      <c r="L5" s="21" t="s">
        <v>29</v>
      </c>
      <c r="M5" s="21"/>
      <c r="N5" s="21"/>
      <c r="O5" s="21"/>
      <c r="P5" s="21"/>
      <c r="Q5" s="21"/>
      <c r="R5" s="21"/>
      <c r="S5" s="21"/>
      <c r="T5" s="21"/>
      <c r="U5" s="21"/>
      <c r="V5" s="21" t="s">
        <v>30</v>
      </c>
      <c r="W5" s="21"/>
      <c r="X5" s="21"/>
      <c r="Y5" s="21"/>
      <c r="Z5" s="21"/>
      <c r="AA5" s="21"/>
      <c r="AB5" s="21"/>
      <c r="AC5" s="21"/>
      <c r="AD5" s="21"/>
      <c r="AE5" s="21"/>
      <c r="AF5" s="21" t="s">
        <v>28</v>
      </c>
      <c r="AG5" s="21"/>
      <c r="AH5" s="21"/>
      <c r="AI5" s="21"/>
      <c r="AJ5" s="21"/>
      <c r="AK5" s="21"/>
      <c r="AL5" s="21"/>
      <c r="AM5" s="21"/>
      <c r="AN5" s="21"/>
      <c r="AO5" s="21"/>
      <c r="AP5" s="21" t="s">
        <v>29</v>
      </c>
      <c r="AQ5" s="21"/>
      <c r="AR5" s="21"/>
      <c r="AS5" s="21"/>
      <c r="AT5" s="21"/>
      <c r="AU5" s="21"/>
      <c r="AV5" s="21"/>
      <c r="AW5" s="21"/>
      <c r="AX5" s="21"/>
      <c r="AY5" s="21"/>
      <c r="AZ5" s="21" t="s">
        <v>30</v>
      </c>
      <c r="BA5" s="21"/>
      <c r="BB5" s="21"/>
      <c r="BC5" s="21"/>
      <c r="BD5" s="21"/>
      <c r="BE5" s="21"/>
      <c r="BF5" s="21"/>
      <c r="BG5" s="21"/>
      <c r="BH5" s="21"/>
      <c r="BI5" s="21"/>
      <c r="BJ5" s="21" t="s">
        <v>28</v>
      </c>
      <c r="BK5" s="21"/>
      <c r="BL5" s="21"/>
      <c r="BM5" s="21"/>
      <c r="BN5" s="21"/>
      <c r="BO5" s="21"/>
      <c r="BP5" s="21"/>
      <c r="BQ5" s="21"/>
      <c r="BR5" s="21"/>
      <c r="BS5" s="21"/>
      <c r="BT5" s="21" t="s">
        <v>29</v>
      </c>
      <c r="BU5" s="21"/>
      <c r="BV5" s="21"/>
      <c r="BW5" s="21"/>
      <c r="BX5" s="21"/>
      <c r="BY5" s="21"/>
      <c r="BZ5" s="21"/>
      <c r="CA5" s="21"/>
      <c r="CB5" s="21"/>
      <c r="CC5" s="21"/>
      <c r="CD5" s="21" t="s">
        <v>30</v>
      </c>
      <c r="CE5" s="21"/>
      <c r="CF5" s="21"/>
      <c r="CG5" s="21"/>
      <c r="CH5" s="21"/>
      <c r="CI5" s="21"/>
      <c r="CJ5" s="21"/>
      <c r="CK5" s="21"/>
      <c r="CL5" s="21"/>
      <c r="CM5" s="21"/>
    </row>
    <row r="6" spans="1:91" ht="7.2" customHeight="1" x14ac:dyDescent="0.3">
      <c r="A6" s="1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</row>
    <row r="7" spans="1:91" x14ac:dyDescent="0.3">
      <c r="A7" s="20" t="s">
        <v>1</v>
      </c>
      <c r="B7" s="24"/>
      <c r="C7" s="22"/>
      <c r="D7" s="22"/>
      <c r="E7" s="22"/>
      <c r="F7" s="22"/>
      <c r="G7" s="22"/>
      <c r="H7" s="22"/>
      <c r="I7" s="22"/>
      <c r="J7" s="22"/>
      <c r="K7" s="22"/>
      <c r="L7" s="24"/>
      <c r="M7" s="22"/>
      <c r="N7" s="22"/>
      <c r="O7" s="22"/>
      <c r="P7" s="22"/>
      <c r="Q7" s="22"/>
      <c r="R7" s="22"/>
      <c r="S7" s="22"/>
      <c r="T7" s="22"/>
      <c r="U7" s="22"/>
      <c r="V7" s="24"/>
      <c r="W7" s="22"/>
      <c r="X7" s="22"/>
      <c r="Y7" s="22"/>
      <c r="Z7" s="22"/>
      <c r="AA7" s="22"/>
      <c r="AB7" s="22"/>
      <c r="AC7" s="22"/>
      <c r="AD7" s="22"/>
      <c r="AE7" s="22"/>
      <c r="AF7" s="24"/>
      <c r="AG7" s="22"/>
      <c r="AH7" s="22"/>
      <c r="AI7" s="22"/>
      <c r="AJ7" s="22"/>
      <c r="AK7" s="22"/>
      <c r="AL7" s="22"/>
      <c r="AM7" s="22"/>
      <c r="AN7" s="22"/>
      <c r="AO7" s="22"/>
      <c r="AP7" s="24"/>
      <c r="AQ7" s="22"/>
      <c r="AR7" s="22"/>
      <c r="AS7" s="22"/>
      <c r="AT7" s="22"/>
      <c r="AU7" s="22"/>
      <c r="AV7" s="22"/>
      <c r="AW7" s="22"/>
      <c r="AX7" s="22"/>
      <c r="AY7" s="22"/>
      <c r="AZ7" s="24"/>
      <c r="BA7" s="22"/>
      <c r="BB7" s="22"/>
      <c r="BC7" s="22"/>
      <c r="BD7" s="22"/>
      <c r="BE7" s="22"/>
      <c r="BF7" s="22"/>
      <c r="BG7" s="22"/>
      <c r="BH7" s="22"/>
      <c r="BI7" s="22"/>
      <c r="BJ7" s="24"/>
      <c r="BK7" s="22"/>
      <c r="BL7" s="22"/>
      <c r="BM7" s="22"/>
      <c r="BN7" s="22"/>
      <c r="BO7" s="22"/>
      <c r="BP7" s="22"/>
      <c r="BQ7" s="22"/>
      <c r="BR7" s="22"/>
      <c r="BS7" s="22"/>
      <c r="BT7" s="24"/>
      <c r="BU7" s="22"/>
      <c r="BV7" s="22"/>
      <c r="BW7" s="22"/>
      <c r="BX7" s="22"/>
      <c r="BY7" s="22"/>
      <c r="BZ7" s="22"/>
      <c r="CA7" s="22"/>
      <c r="CB7" s="22"/>
      <c r="CC7" s="22"/>
      <c r="CD7" s="24"/>
      <c r="CE7" s="22"/>
      <c r="CF7" s="22"/>
      <c r="CG7" s="22"/>
      <c r="CH7" s="22"/>
      <c r="CI7" s="22"/>
      <c r="CJ7" s="22"/>
      <c r="CK7" s="22"/>
      <c r="CL7" s="22"/>
      <c r="CM7" s="22"/>
    </row>
    <row r="8" spans="1:91" x14ac:dyDescent="0.3">
      <c r="A8" s="19" t="s">
        <v>35</v>
      </c>
      <c r="B8" s="23" t="s">
        <v>15</v>
      </c>
      <c r="C8" s="28">
        <v>10</v>
      </c>
      <c r="D8" s="28">
        <v>10</v>
      </c>
      <c r="E8" s="28">
        <v>20</v>
      </c>
      <c r="F8" s="28">
        <v>20</v>
      </c>
      <c r="G8" s="28">
        <v>35</v>
      </c>
      <c r="H8" s="28">
        <v>35</v>
      </c>
      <c r="I8" s="28">
        <v>50</v>
      </c>
      <c r="J8" s="28">
        <v>50</v>
      </c>
      <c r="K8" s="27" t="s">
        <v>15</v>
      </c>
      <c r="L8" s="27" t="s">
        <v>15</v>
      </c>
      <c r="M8" s="28">
        <v>10</v>
      </c>
      <c r="N8" s="28">
        <v>10</v>
      </c>
      <c r="O8" s="28">
        <v>20</v>
      </c>
      <c r="P8" s="28">
        <v>20</v>
      </c>
      <c r="Q8" s="28">
        <v>35</v>
      </c>
      <c r="R8" s="28">
        <v>35</v>
      </c>
      <c r="S8" s="28">
        <v>50</v>
      </c>
      <c r="T8" s="28">
        <v>50</v>
      </c>
      <c r="U8" s="27" t="s">
        <v>15</v>
      </c>
      <c r="V8" s="27" t="s">
        <v>15</v>
      </c>
      <c r="W8" s="28">
        <v>10</v>
      </c>
      <c r="X8" s="28">
        <v>10</v>
      </c>
      <c r="Y8" s="28">
        <v>20</v>
      </c>
      <c r="Z8" s="28">
        <v>20</v>
      </c>
      <c r="AA8" s="28">
        <v>35</v>
      </c>
      <c r="AB8" s="28">
        <v>35</v>
      </c>
      <c r="AC8" s="28">
        <v>50</v>
      </c>
      <c r="AD8" s="28">
        <v>50</v>
      </c>
      <c r="AE8" s="27" t="s">
        <v>15</v>
      </c>
      <c r="AF8" s="27" t="s">
        <v>15</v>
      </c>
      <c r="AG8" s="28">
        <v>10</v>
      </c>
      <c r="AH8" s="28">
        <v>10</v>
      </c>
      <c r="AI8" s="28">
        <v>20</v>
      </c>
      <c r="AJ8" s="28">
        <v>20</v>
      </c>
      <c r="AK8" s="28">
        <v>35</v>
      </c>
      <c r="AL8" s="28">
        <v>35</v>
      </c>
      <c r="AM8" s="28">
        <v>50</v>
      </c>
      <c r="AN8" s="28">
        <v>50</v>
      </c>
      <c r="AO8" s="27" t="s">
        <v>15</v>
      </c>
      <c r="AP8" s="27" t="s">
        <v>15</v>
      </c>
      <c r="AQ8" s="28">
        <v>10</v>
      </c>
      <c r="AR8" s="28">
        <v>10</v>
      </c>
      <c r="AS8" s="28">
        <v>20</v>
      </c>
      <c r="AT8" s="28">
        <v>20</v>
      </c>
      <c r="AU8" s="28">
        <v>35</v>
      </c>
      <c r="AV8" s="28">
        <v>35</v>
      </c>
      <c r="AW8" s="28">
        <v>50</v>
      </c>
      <c r="AX8" s="28">
        <v>50</v>
      </c>
      <c r="AY8" s="27" t="s">
        <v>15</v>
      </c>
      <c r="AZ8" s="27" t="s">
        <v>15</v>
      </c>
      <c r="BA8" s="28">
        <v>10</v>
      </c>
      <c r="BB8" s="28">
        <v>10</v>
      </c>
      <c r="BC8" s="28">
        <v>20</v>
      </c>
      <c r="BD8" s="28">
        <v>20</v>
      </c>
      <c r="BE8" s="28">
        <v>35</v>
      </c>
      <c r="BF8" s="28">
        <v>35</v>
      </c>
      <c r="BG8" s="28">
        <v>50</v>
      </c>
      <c r="BH8" s="28">
        <v>50</v>
      </c>
      <c r="BI8" s="27" t="s">
        <v>15</v>
      </c>
      <c r="BJ8" s="27" t="s">
        <v>15</v>
      </c>
      <c r="BK8" s="28">
        <v>10</v>
      </c>
      <c r="BL8" s="28">
        <v>10</v>
      </c>
      <c r="BM8" s="28">
        <v>20</v>
      </c>
      <c r="BN8" s="28">
        <v>20</v>
      </c>
      <c r="BO8" s="28">
        <v>35</v>
      </c>
      <c r="BP8" s="28">
        <v>35</v>
      </c>
      <c r="BQ8" s="28">
        <v>50</v>
      </c>
      <c r="BR8" s="28">
        <v>50</v>
      </c>
      <c r="BS8" s="27" t="s">
        <v>15</v>
      </c>
      <c r="BT8" s="27" t="s">
        <v>15</v>
      </c>
      <c r="BU8" s="28">
        <v>10</v>
      </c>
      <c r="BV8" s="28">
        <v>10</v>
      </c>
      <c r="BW8" s="28">
        <v>20</v>
      </c>
      <c r="BX8" s="28">
        <v>20</v>
      </c>
      <c r="BY8" s="28">
        <v>35</v>
      </c>
      <c r="BZ8" s="28">
        <v>35</v>
      </c>
      <c r="CA8" s="28">
        <v>50</v>
      </c>
      <c r="CB8" s="28">
        <v>50</v>
      </c>
      <c r="CC8" s="27" t="s">
        <v>15</v>
      </c>
      <c r="CD8" s="27" t="s">
        <v>15</v>
      </c>
      <c r="CE8" s="28">
        <v>10</v>
      </c>
      <c r="CF8" s="28">
        <v>10</v>
      </c>
      <c r="CG8" s="28">
        <v>20</v>
      </c>
      <c r="CH8" s="28">
        <v>20</v>
      </c>
      <c r="CI8" s="28">
        <v>35</v>
      </c>
      <c r="CJ8" s="28">
        <v>35</v>
      </c>
      <c r="CK8" s="28">
        <v>50</v>
      </c>
      <c r="CL8" s="28">
        <v>50</v>
      </c>
      <c r="CM8" s="27" t="s">
        <v>15</v>
      </c>
    </row>
    <row r="9" spans="1:91" x14ac:dyDescent="0.3">
      <c r="A9" s="19" t="s">
        <v>19</v>
      </c>
      <c r="B9" s="23" t="s">
        <v>15</v>
      </c>
      <c r="C9" s="25">
        <v>1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3" t="s">
        <v>15</v>
      </c>
      <c r="L9" s="23" t="s">
        <v>15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3" t="s">
        <v>15</v>
      </c>
      <c r="V9" s="23" t="s">
        <v>15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3" t="s">
        <v>15</v>
      </c>
      <c r="AF9" s="23" t="s">
        <v>15</v>
      </c>
      <c r="AG9" s="25">
        <v>1.5</v>
      </c>
      <c r="AH9" s="25">
        <v>1.5</v>
      </c>
      <c r="AI9" s="25">
        <v>1.5</v>
      </c>
      <c r="AJ9" s="25">
        <v>1.5</v>
      </c>
      <c r="AK9" s="25">
        <v>1.5</v>
      </c>
      <c r="AL9" s="25">
        <v>1.5</v>
      </c>
      <c r="AM9" s="25">
        <v>1.5</v>
      </c>
      <c r="AN9" s="25">
        <v>1.5</v>
      </c>
      <c r="AO9" s="23" t="s">
        <v>15</v>
      </c>
      <c r="AP9" s="23" t="s">
        <v>15</v>
      </c>
      <c r="AQ9" s="25">
        <v>1.5</v>
      </c>
      <c r="AR9" s="25">
        <v>1.5</v>
      </c>
      <c r="AS9" s="25">
        <v>1.5</v>
      </c>
      <c r="AT9" s="25">
        <v>1.5</v>
      </c>
      <c r="AU9" s="25">
        <v>1.5</v>
      </c>
      <c r="AV9" s="25">
        <v>1.5</v>
      </c>
      <c r="AW9" s="25">
        <v>1.5</v>
      </c>
      <c r="AX9" s="25">
        <v>1.5</v>
      </c>
      <c r="AY9" s="23" t="s">
        <v>15</v>
      </c>
      <c r="AZ9" s="23" t="s">
        <v>15</v>
      </c>
      <c r="BA9" s="25">
        <v>1.5</v>
      </c>
      <c r="BB9" s="25">
        <v>1.5</v>
      </c>
      <c r="BC9" s="25">
        <v>1.5</v>
      </c>
      <c r="BD9" s="25">
        <v>1.5</v>
      </c>
      <c r="BE9" s="25">
        <v>1.5</v>
      </c>
      <c r="BF9" s="25">
        <v>1.5</v>
      </c>
      <c r="BG9" s="25">
        <v>1.5</v>
      </c>
      <c r="BH9" s="25">
        <v>1.5</v>
      </c>
      <c r="BI9" s="23" t="s">
        <v>15</v>
      </c>
      <c r="BJ9" s="23" t="s">
        <v>15</v>
      </c>
      <c r="BK9" s="25">
        <v>2.5</v>
      </c>
      <c r="BL9" s="25">
        <v>2.5</v>
      </c>
      <c r="BM9" s="25">
        <v>2.5</v>
      </c>
      <c r="BN9" s="25">
        <v>2.5</v>
      </c>
      <c r="BO9" s="25">
        <v>2.5</v>
      </c>
      <c r="BP9" s="25">
        <v>2.5</v>
      </c>
      <c r="BQ9" s="25">
        <v>2.5</v>
      </c>
      <c r="BR9" s="25">
        <v>2.5</v>
      </c>
      <c r="BS9" s="23" t="s">
        <v>15</v>
      </c>
      <c r="BT9" s="23" t="s">
        <v>15</v>
      </c>
      <c r="BU9" s="25">
        <v>2.5</v>
      </c>
      <c r="BV9" s="25">
        <v>2.5</v>
      </c>
      <c r="BW9" s="25">
        <v>2.5</v>
      </c>
      <c r="BX9" s="25">
        <v>2.5</v>
      </c>
      <c r="BY9" s="25">
        <v>2.5</v>
      </c>
      <c r="BZ9" s="25">
        <v>2.5</v>
      </c>
      <c r="CA9" s="25">
        <v>2.5</v>
      </c>
      <c r="CB9" s="25">
        <v>2.5</v>
      </c>
      <c r="CC9" s="23" t="s">
        <v>15</v>
      </c>
      <c r="CD9" s="23" t="s">
        <v>15</v>
      </c>
      <c r="CE9" s="25">
        <v>2.5</v>
      </c>
      <c r="CF9" s="25">
        <v>2.5</v>
      </c>
      <c r="CG9" s="25">
        <v>2.5</v>
      </c>
      <c r="CH9" s="25">
        <v>2.5</v>
      </c>
      <c r="CI9" s="25">
        <v>2.5</v>
      </c>
      <c r="CJ9" s="25">
        <v>2.5</v>
      </c>
      <c r="CK9" s="25">
        <v>2.5</v>
      </c>
      <c r="CL9" s="25">
        <v>2.5</v>
      </c>
      <c r="CM9" s="23" t="s">
        <v>15</v>
      </c>
    </row>
    <row r="10" spans="1:91" x14ac:dyDescent="0.3">
      <c r="A10" s="19" t="s">
        <v>36</v>
      </c>
      <c r="B10" s="23" t="s">
        <v>15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3" t="s">
        <v>15</v>
      </c>
      <c r="L10" s="23" t="s">
        <v>15</v>
      </c>
      <c r="M10" s="25">
        <v>5</v>
      </c>
      <c r="N10" s="25">
        <v>5</v>
      </c>
      <c r="O10" s="25">
        <v>5</v>
      </c>
      <c r="P10" s="25">
        <v>5</v>
      </c>
      <c r="Q10" s="25">
        <v>5</v>
      </c>
      <c r="R10" s="25">
        <v>5</v>
      </c>
      <c r="S10" s="25">
        <v>5</v>
      </c>
      <c r="T10" s="25">
        <v>5</v>
      </c>
      <c r="U10" s="23" t="s">
        <v>15</v>
      </c>
      <c r="V10" s="23" t="s">
        <v>15</v>
      </c>
      <c r="W10" s="25">
        <v>10</v>
      </c>
      <c r="X10" s="25">
        <v>10</v>
      </c>
      <c r="Y10" s="25">
        <v>10</v>
      </c>
      <c r="Z10" s="25">
        <v>10</v>
      </c>
      <c r="AA10" s="25">
        <v>10</v>
      </c>
      <c r="AB10" s="25">
        <v>10</v>
      </c>
      <c r="AC10" s="25">
        <v>10</v>
      </c>
      <c r="AD10" s="25">
        <v>10</v>
      </c>
      <c r="AE10" s="23" t="s">
        <v>15</v>
      </c>
      <c r="AF10" s="23" t="s">
        <v>15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3" t="s">
        <v>15</v>
      </c>
      <c r="AP10" s="23" t="s">
        <v>15</v>
      </c>
      <c r="AQ10" s="25">
        <v>5</v>
      </c>
      <c r="AR10" s="25">
        <v>5</v>
      </c>
      <c r="AS10" s="25">
        <v>5</v>
      </c>
      <c r="AT10" s="25">
        <v>5</v>
      </c>
      <c r="AU10" s="25">
        <v>5</v>
      </c>
      <c r="AV10" s="25">
        <v>5</v>
      </c>
      <c r="AW10" s="25">
        <v>5</v>
      </c>
      <c r="AX10" s="25">
        <v>5</v>
      </c>
      <c r="AY10" s="23" t="s">
        <v>15</v>
      </c>
      <c r="AZ10" s="23" t="s">
        <v>15</v>
      </c>
      <c r="BA10" s="25">
        <v>10</v>
      </c>
      <c r="BB10" s="25">
        <v>10</v>
      </c>
      <c r="BC10" s="25">
        <v>10</v>
      </c>
      <c r="BD10" s="25">
        <v>10</v>
      </c>
      <c r="BE10" s="25">
        <v>10</v>
      </c>
      <c r="BF10" s="25">
        <v>10</v>
      </c>
      <c r="BG10" s="25">
        <v>10</v>
      </c>
      <c r="BH10" s="25">
        <v>10</v>
      </c>
      <c r="BI10" s="23" t="s">
        <v>15</v>
      </c>
      <c r="BJ10" s="23" t="s">
        <v>15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3" t="s">
        <v>15</v>
      </c>
      <c r="BT10" s="23" t="s">
        <v>15</v>
      </c>
      <c r="BU10" s="25">
        <v>5</v>
      </c>
      <c r="BV10" s="25">
        <v>5</v>
      </c>
      <c r="BW10" s="25">
        <v>5</v>
      </c>
      <c r="BX10" s="25">
        <v>5</v>
      </c>
      <c r="BY10" s="25">
        <v>5</v>
      </c>
      <c r="BZ10" s="25">
        <v>5</v>
      </c>
      <c r="CA10" s="25">
        <v>5</v>
      </c>
      <c r="CB10" s="25">
        <v>5</v>
      </c>
      <c r="CC10" s="23" t="s">
        <v>15</v>
      </c>
      <c r="CD10" s="23" t="s">
        <v>15</v>
      </c>
      <c r="CE10" s="25">
        <v>10</v>
      </c>
      <c r="CF10" s="25">
        <v>10</v>
      </c>
      <c r="CG10" s="25">
        <v>10</v>
      </c>
      <c r="CH10" s="25">
        <v>10</v>
      </c>
      <c r="CI10" s="25">
        <v>10</v>
      </c>
      <c r="CJ10" s="25">
        <v>10</v>
      </c>
      <c r="CK10" s="25">
        <v>10</v>
      </c>
      <c r="CL10" s="25">
        <v>10</v>
      </c>
      <c r="CM10" s="23" t="s">
        <v>15</v>
      </c>
    </row>
    <row r="11" spans="1:91" x14ac:dyDescent="0.3">
      <c r="A11" s="19" t="s">
        <v>37</v>
      </c>
      <c r="B11" s="27" t="s">
        <v>15</v>
      </c>
      <c r="C11" s="28">
        <f>C8*C9*(1-C10/100)</f>
        <v>10</v>
      </c>
      <c r="D11" s="28">
        <f t="shared" ref="D11:J11" si="0">D8*D9*(1-D10/100)</f>
        <v>10</v>
      </c>
      <c r="E11" s="28">
        <f t="shared" si="0"/>
        <v>20</v>
      </c>
      <c r="F11" s="28">
        <f t="shared" si="0"/>
        <v>20</v>
      </c>
      <c r="G11" s="28">
        <f t="shared" si="0"/>
        <v>35</v>
      </c>
      <c r="H11" s="28">
        <f t="shared" si="0"/>
        <v>35</v>
      </c>
      <c r="I11" s="28">
        <f t="shared" si="0"/>
        <v>50</v>
      </c>
      <c r="J11" s="28">
        <f t="shared" si="0"/>
        <v>50</v>
      </c>
      <c r="K11" s="27" t="s">
        <v>15</v>
      </c>
      <c r="L11" s="27" t="s">
        <v>15</v>
      </c>
      <c r="M11" s="28">
        <f>M8*M9*(1-M10/100)</f>
        <v>9.5</v>
      </c>
      <c r="N11" s="28">
        <f t="shared" ref="N11" si="1">N8*N9*(1-N10/100)</f>
        <v>9.5</v>
      </c>
      <c r="O11" s="28">
        <f t="shared" ref="O11" si="2">O8*O9*(1-O10/100)</f>
        <v>19</v>
      </c>
      <c r="P11" s="28">
        <f t="shared" ref="P11" si="3">P8*P9*(1-P10/100)</f>
        <v>19</v>
      </c>
      <c r="Q11" s="28">
        <f t="shared" ref="Q11" si="4">Q8*Q9*(1-Q10/100)</f>
        <v>33.25</v>
      </c>
      <c r="R11" s="28">
        <f t="shared" ref="R11" si="5">R8*R9*(1-R10/100)</f>
        <v>33.25</v>
      </c>
      <c r="S11" s="28">
        <f t="shared" ref="S11" si="6">S8*S9*(1-S10/100)</f>
        <v>47.5</v>
      </c>
      <c r="T11" s="28">
        <f t="shared" ref="T11" si="7">T8*T9*(1-T10/100)</f>
        <v>47.5</v>
      </c>
      <c r="U11" s="27" t="s">
        <v>15</v>
      </c>
      <c r="V11" s="27" t="s">
        <v>15</v>
      </c>
      <c r="W11" s="28">
        <f>W8*W9*(1-W10/100)</f>
        <v>9</v>
      </c>
      <c r="X11" s="28">
        <f t="shared" ref="X11" si="8">X8*X9*(1-X10/100)</f>
        <v>9</v>
      </c>
      <c r="Y11" s="28">
        <f t="shared" ref="Y11" si="9">Y8*Y9*(1-Y10/100)</f>
        <v>18</v>
      </c>
      <c r="Z11" s="28">
        <f t="shared" ref="Z11" si="10">Z8*Z9*(1-Z10/100)</f>
        <v>18</v>
      </c>
      <c r="AA11" s="28">
        <f t="shared" ref="AA11" si="11">AA8*AA9*(1-AA10/100)</f>
        <v>31.5</v>
      </c>
      <c r="AB11" s="28">
        <f t="shared" ref="AB11" si="12">AB8*AB9*(1-AB10/100)</f>
        <v>31.5</v>
      </c>
      <c r="AC11" s="28">
        <f t="shared" ref="AC11" si="13">AC8*AC9*(1-AC10/100)</f>
        <v>45</v>
      </c>
      <c r="AD11" s="28">
        <f t="shared" ref="AD11" si="14">AD8*AD9*(1-AD10/100)</f>
        <v>45</v>
      </c>
      <c r="AE11" s="27" t="s">
        <v>15</v>
      </c>
      <c r="AF11" s="27" t="s">
        <v>15</v>
      </c>
      <c r="AG11" s="28">
        <f>AG8*AG9*(1-AG10/100)</f>
        <v>15</v>
      </c>
      <c r="AH11" s="28">
        <f t="shared" ref="AH11" si="15">AH8*AH9*(1-AH10/100)</f>
        <v>15</v>
      </c>
      <c r="AI11" s="28">
        <f t="shared" ref="AI11" si="16">AI8*AI9*(1-AI10/100)</f>
        <v>30</v>
      </c>
      <c r="AJ11" s="28">
        <f t="shared" ref="AJ11" si="17">AJ8*AJ9*(1-AJ10/100)</f>
        <v>30</v>
      </c>
      <c r="AK11" s="28">
        <f t="shared" ref="AK11" si="18">AK8*AK9*(1-AK10/100)</f>
        <v>52.5</v>
      </c>
      <c r="AL11" s="28">
        <f t="shared" ref="AL11" si="19">AL8*AL9*(1-AL10/100)</f>
        <v>52.5</v>
      </c>
      <c r="AM11" s="28">
        <f t="shared" ref="AM11" si="20">AM8*AM9*(1-AM10/100)</f>
        <v>75</v>
      </c>
      <c r="AN11" s="28">
        <f t="shared" ref="AN11" si="21">AN8*AN9*(1-AN10/100)</f>
        <v>75</v>
      </c>
      <c r="AO11" s="27" t="s">
        <v>15</v>
      </c>
      <c r="AP11" s="27" t="s">
        <v>15</v>
      </c>
      <c r="AQ11" s="28">
        <f>AQ8*AQ9*(1-AQ10/100)</f>
        <v>14.25</v>
      </c>
      <c r="AR11" s="28">
        <f t="shared" ref="AR11" si="22">AR8*AR9*(1-AR10/100)</f>
        <v>14.25</v>
      </c>
      <c r="AS11" s="28">
        <f t="shared" ref="AS11" si="23">AS8*AS9*(1-AS10/100)</f>
        <v>28.5</v>
      </c>
      <c r="AT11" s="28">
        <f t="shared" ref="AT11" si="24">AT8*AT9*(1-AT10/100)</f>
        <v>28.5</v>
      </c>
      <c r="AU11" s="28">
        <f t="shared" ref="AU11" si="25">AU8*AU9*(1-AU10/100)</f>
        <v>49.875</v>
      </c>
      <c r="AV11" s="28">
        <f t="shared" ref="AV11" si="26">AV8*AV9*(1-AV10/100)</f>
        <v>49.875</v>
      </c>
      <c r="AW11" s="28">
        <f t="shared" ref="AW11" si="27">AW8*AW9*(1-AW10/100)</f>
        <v>71.25</v>
      </c>
      <c r="AX11" s="28">
        <f t="shared" ref="AX11" si="28">AX8*AX9*(1-AX10/100)</f>
        <v>71.25</v>
      </c>
      <c r="AY11" s="27" t="s">
        <v>15</v>
      </c>
      <c r="AZ11" s="27" t="s">
        <v>15</v>
      </c>
      <c r="BA11" s="28">
        <f>BA8*BA9*(1-BA10/100)</f>
        <v>13.5</v>
      </c>
      <c r="BB11" s="28">
        <f t="shared" ref="BB11" si="29">BB8*BB9*(1-BB10/100)</f>
        <v>13.5</v>
      </c>
      <c r="BC11" s="28">
        <f t="shared" ref="BC11" si="30">BC8*BC9*(1-BC10/100)</f>
        <v>27</v>
      </c>
      <c r="BD11" s="28">
        <f t="shared" ref="BD11" si="31">BD8*BD9*(1-BD10/100)</f>
        <v>27</v>
      </c>
      <c r="BE11" s="28">
        <f t="shared" ref="BE11" si="32">BE8*BE9*(1-BE10/100)</f>
        <v>47.25</v>
      </c>
      <c r="BF11" s="28">
        <f t="shared" ref="BF11" si="33">BF8*BF9*(1-BF10/100)</f>
        <v>47.25</v>
      </c>
      <c r="BG11" s="28">
        <f t="shared" ref="BG11" si="34">BG8*BG9*(1-BG10/100)</f>
        <v>67.5</v>
      </c>
      <c r="BH11" s="28">
        <f t="shared" ref="BH11" si="35">BH8*BH9*(1-BH10/100)</f>
        <v>67.5</v>
      </c>
      <c r="BI11" s="27" t="s">
        <v>15</v>
      </c>
      <c r="BJ11" s="27" t="s">
        <v>15</v>
      </c>
      <c r="BK11" s="28">
        <f>BK8*BK9*(1-BK10/100)</f>
        <v>25</v>
      </c>
      <c r="BL11" s="28">
        <f t="shared" ref="BL11" si="36">BL8*BL9*(1-BL10/100)</f>
        <v>25</v>
      </c>
      <c r="BM11" s="28">
        <f t="shared" ref="BM11" si="37">BM8*BM9*(1-BM10/100)</f>
        <v>50</v>
      </c>
      <c r="BN11" s="28">
        <f t="shared" ref="BN11" si="38">BN8*BN9*(1-BN10/100)</f>
        <v>50</v>
      </c>
      <c r="BO11" s="28">
        <f t="shared" ref="BO11" si="39">BO8*BO9*(1-BO10/100)</f>
        <v>87.5</v>
      </c>
      <c r="BP11" s="28">
        <f t="shared" ref="BP11" si="40">BP8*BP9*(1-BP10/100)</f>
        <v>87.5</v>
      </c>
      <c r="BQ11" s="28">
        <f t="shared" ref="BQ11" si="41">BQ8*BQ9*(1-BQ10/100)</f>
        <v>125</v>
      </c>
      <c r="BR11" s="28">
        <f t="shared" ref="BR11" si="42">BR8*BR9*(1-BR10/100)</f>
        <v>125</v>
      </c>
      <c r="BS11" s="27" t="s">
        <v>15</v>
      </c>
      <c r="BT11" s="27" t="s">
        <v>15</v>
      </c>
      <c r="BU11" s="28">
        <f>BU8*BU9*(1-BU10/100)</f>
        <v>23.75</v>
      </c>
      <c r="BV11" s="28">
        <f t="shared" ref="BV11" si="43">BV8*BV9*(1-BV10/100)</f>
        <v>23.75</v>
      </c>
      <c r="BW11" s="28">
        <f t="shared" ref="BW11" si="44">BW8*BW9*(1-BW10/100)</f>
        <v>47.5</v>
      </c>
      <c r="BX11" s="28">
        <f t="shared" ref="BX11" si="45">BX8*BX9*(1-BX10/100)</f>
        <v>47.5</v>
      </c>
      <c r="BY11" s="28">
        <f t="shared" ref="BY11" si="46">BY8*BY9*(1-BY10/100)</f>
        <v>83.125</v>
      </c>
      <c r="BZ11" s="28">
        <f t="shared" ref="BZ11" si="47">BZ8*BZ9*(1-BZ10/100)</f>
        <v>83.125</v>
      </c>
      <c r="CA11" s="28">
        <f t="shared" ref="CA11" si="48">CA8*CA9*(1-CA10/100)</f>
        <v>118.75</v>
      </c>
      <c r="CB11" s="28">
        <f t="shared" ref="CB11" si="49">CB8*CB9*(1-CB10/100)</f>
        <v>118.75</v>
      </c>
      <c r="CC11" s="27" t="s">
        <v>15</v>
      </c>
      <c r="CD11" s="27" t="s">
        <v>15</v>
      </c>
      <c r="CE11" s="28">
        <f>CE8*CE9*(1-CE10/100)</f>
        <v>22.5</v>
      </c>
      <c r="CF11" s="28">
        <f t="shared" ref="CF11" si="50">CF8*CF9*(1-CF10/100)</f>
        <v>22.5</v>
      </c>
      <c r="CG11" s="28">
        <f t="shared" ref="CG11" si="51">CG8*CG9*(1-CG10/100)</f>
        <v>45</v>
      </c>
      <c r="CH11" s="28">
        <f t="shared" ref="CH11" si="52">CH8*CH9*(1-CH10/100)</f>
        <v>45</v>
      </c>
      <c r="CI11" s="28">
        <f t="shared" ref="CI11" si="53">CI8*CI9*(1-CI10/100)</f>
        <v>78.75</v>
      </c>
      <c r="CJ11" s="28">
        <f t="shared" ref="CJ11" si="54">CJ8*CJ9*(1-CJ10/100)</f>
        <v>78.75</v>
      </c>
      <c r="CK11" s="28">
        <f t="shared" ref="CK11" si="55">CK8*CK9*(1-CK10/100)</f>
        <v>112.5</v>
      </c>
      <c r="CL11" s="28">
        <f t="shared" ref="CL11" si="56">CL8*CL9*(1-CL10/100)</f>
        <v>112.5</v>
      </c>
      <c r="CM11" s="27" t="s">
        <v>15</v>
      </c>
    </row>
    <row r="13" spans="1:91" x14ac:dyDescent="0.3">
      <c r="A13" s="29" t="s">
        <v>49</v>
      </c>
    </row>
    <row r="14" spans="1:91" x14ac:dyDescent="0.3">
      <c r="A14" s="29" t="s">
        <v>50</v>
      </c>
    </row>
    <row r="15" spans="1:91" x14ac:dyDescent="0.3">
      <c r="A15" s="29" t="s">
        <v>53</v>
      </c>
    </row>
  </sheetData>
  <mergeCells count="27">
    <mergeCell ref="CD1:CM1"/>
    <mergeCell ref="CD4:CM4"/>
    <mergeCell ref="CD5:CM5"/>
    <mergeCell ref="BJ1:BS1"/>
    <mergeCell ref="BJ4:BS4"/>
    <mergeCell ref="BJ5:BS5"/>
    <mergeCell ref="BT1:CC1"/>
    <mergeCell ref="BT4:CC4"/>
    <mergeCell ref="BT5:CC5"/>
    <mergeCell ref="AP1:AY1"/>
    <mergeCell ref="AP4:AY4"/>
    <mergeCell ref="AP5:AY5"/>
    <mergeCell ref="AZ1:BI1"/>
    <mergeCell ref="AZ4:BI4"/>
    <mergeCell ref="AZ5:BI5"/>
    <mergeCell ref="V1:AE1"/>
    <mergeCell ref="V4:AE4"/>
    <mergeCell ref="V5:AE5"/>
    <mergeCell ref="AF1:AO1"/>
    <mergeCell ref="AF4:AO4"/>
    <mergeCell ref="AF5:AO5"/>
    <mergeCell ref="B1:K1"/>
    <mergeCell ref="B4:K4"/>
    <mergeCell ref="B5:K5"/>
    <mergeCell ref="L1:U1"/>
    <mergeCell ref="L4:U4"/>
    <mergeCell ref="L5:U5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077A927625FE419606A7BB3A1755E8" ma:contentTypeVersion="9" ma:contentTypeDescription="Create a new document." ma:contentTypeScope="" ma:versionID="8e4832aa27fc03ab0ce1dc1113b8962c">
  <xsd:schema xmlns:xsd="http://www.w3.org/2001/XMLSchema" xmlns:xs="http://www.w3.org/2001/XMLSchema" xmlns:p="http://schemas.microsoft.com/office/2006/metadata/properties" xmlns:ns3="049e78d1-e5ba-490f-a5cd-6bf7dff607d0" targetNamespace="http://schemas.microsoft.com/office/2006/metadata/properties" ma:root="true" ma:fieldsID="23d0a2b6ff44cb74b6e80e15dd54eb8a" ns3:_="">
    <xsd:import namespace="049e78d1-e5ba-490f-a5cd-6bf7dff607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e78d1-e5ba-490f-a5cd-6bf7dff60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9e78d1-e5ba-490f-a5cd-6bf7dff607d0" xsi:nil="true"/>
  </documentManagement>
</p:properties>
</file>

<file path=customXml/itemProps1.xml><?xml version="1.0" encoding="utf-8"?>
<ds:datastoreItem xmlns:ds="http://schemas.openxmlformats.org/officeDocument/2006/customXml" ds:itemID="{38A43C33-6234-486A-8426-84C87BDC3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e78d1-e5ba-490f-a5cd-6bf7dff60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1E372E-CDBC-4740-9A09-0152077845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1177F-F702-4FE7-AF48-81ED0BCF0AC4}">
  <ds:schemaRefs>
    <ds:schemaRef ds:uri="http://www.w3.org/XML/1998/namespace"/>
    <ds:schemaRef ds:uri="http://schemas.microsoft.com/office/2006/documentManagement/types"/>
    <ds:schemaRef ds:uri="http://purl.org/dc/elements/1.1/"/>
    <ds:schemaRef ds:uri="049e78d1-e5ba-490f-a5cd-6bf7dff607d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Weight Validation - (EP&amp;BVA)</vt:lpstr>
      <vt:lpstr>Destination Zone Multiplier</vt:lpstr>
      <vt:lpstr> Loyalty Discount</vt:lpstr>
      <vt:lpstr>Decision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YII ZHU YONG</dc:creator>
  <cp:lastModifiedBy>JUSTIN YII ZHU YONG</cp:lastModifiedBy>
  <dcterms:created xsi:type="dcterms:W3CDTF">2026-05-01T03:11:12Z</dcterms:created>
  <dcterms:modified xsi:type="dcterms:W3CDTF">2026-05-01T06:12:45Z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0x01010079077A927625FE419606A7BB3A1755E8</vt:lpwstr>
  </property>
</Properties>
</file>